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\Data Analytics\"/>
    </mc:Choice>
  </mc:AlternateContent>
  <xr:revisionPtr revIDLastSave="0" documentId="8_{C7AED4A1-1633-4E42-A352-46492FC413C2}" xr6:coauthVersionLast="47" xr6:coauthVersionMax="47" xr10:uidLastSave="{00000000-0000-0000-0000-000000000000}"/>
  <bookViews>
    <workbookView xWindow="-108" yWindow="-108" windowWidth="23256" windowHeight="13896" activeTab="1" xr2:uid="{699EB1C4-2B64-4A8F-8857-07E0D6EE5BE3}"/>
  </bookViews>
  <sheets>
    <sheet name="Sheet2" sheetId="2" r:id="rId1"/>
    <sheet name="Sheet1" sheetId="1" r:id="rId2"/>
  </sheets>
  <definedNames>
    <definedName name="_xlcn.WorksheetConnection_Book3Table11" hidden="1">Table1[]</definedName>
  </definedNames>
  <calcPr calcId="191029"/>
  <pivotCaches>
    <pivotCache cacheId="20" r:id="rId3"/>
    <pivotCache cacheId="2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3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74F11A-DF80-4D18-9759-C4FE69EABA5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55163BD-5ED0-4BA3-89BE-DBC13A093702}" name="WorksheetConnection_Book3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3Table11"/>
        </x15:connection>
      </ext>
    </extLst>
  </connection>
</connections>
</file>

<file path=xl/sharedStrings.xml><?xml version="1.0" encoding="utf-8"?>
<sst xmlns="http://schemas.openxmlformats.org/spreadsheetml/2006/main" count="116" uniqueCount="50">
  <si>
    <t>Employe Name</t>
  </si>
  <si>
    <t>Employe ID</t>
  </si>
  <si>
    <t xml:space="preserve">Domain </t>
  </si>
  <si>
    <t>Salary</t>
  </si>
  <si>
    <t>Sankar</t>
  </si>
  <si>
    <t>Gopi</t>
  </si>
  <si>
    <t>Eswara</t>
  </si>
  <si>
    <t>Pandi</t>
  </si>
  <si>
    <t>Nishal</t>
  </si>
  <si>
    <t>Viki</t>
  </si>
  <si>
    <t>Simman</t>
  </si>
  <si>
    <t>Kowsi</t>
  </si>
  <si>
    <t>Jaya</t>
  </si>
  <si>
    <t>Ram</t>
  </si>
  <si>
    <t>Naresh</t>
  </si>
  <si>
    <t>Kumar</t>
  </si>
  <si>
    <t>Rishi</t>
  </si>
  <si>
    <t>ED0001</t>
  </si>
  <si>
    <t>ED0002</t>
  </si>
  <si>
    <t>ED0003</t>
  </si>
  <si>
    <t>ED0004</t>
  </si>
  <si>
    <t>ED0005</t>
  </si>
  <si>
    <t>ED0006</t>
  </si>
  <si>
    <t>ED0007</t>
  </si>
  <si>
    <t>ED0008</t>
  </si>
  <si>
    <t>ED0009</t>
  </si>
  <si>
    <t>ED0010</t>
  </si>
  <si>
    <t>ED0011</t>
  </si>
  <si>
    <t>ED0012</t>
  </si>
  <si>
    <t>ED0013</t>
  </si>
  <si>
    <t>Manager</t>
  </si>
  <si>
    <t>Staff</t>
  </si>
  <si>
    <t>Rs.1000000</t>
  </si>
  <si>
    <t>Rs.1000002</t>
  </si>
  <si>
    <t>Rs.1000003</t>
  </si>
  <si>
    <t>Rs.1000004</t>
  </si>
  <si>
    <t>Rs.1000005</t>
  </si>
  <si>
    <t>Rs.1000006</t>
  </si>
  <si>
    <t>Rs.1000007</t>
  </si>
  <si>
    <t>Rs.1000008</t>
  </si>
  <si>
    <t>Rs.1000009</t>
  </si>
  <si>
    <t>Rs.1000010</t>
  </si>
  <si>
    <t>Rs.1000011</t>
  </si>
  <si>
    <t>Rs.1000012</t>
  </si>
  <si>
    <t>Employe ID Need</t>
  </si>
  <si>
    <t>Row Labels</t>
  </si>
  <si>
    <t>Grand Total</t>
  </si>
  <si>
    <t>Count of Salary</t>
  </si>
  <si>
    <t>Rs.50000</t>
  </si>
  <si>
    <t>Employe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</si>
</sst>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karagopi B" refreshedDate="46062.759850000002" createdVersion="8" refreshedVersion="8" minRefreshableVersion="3" recordCount="13" xr:uid="{FCE596AD-53E1-4396-8F12-57B30E8A378B}">
  <cacheSource type="worksheet">
    <worksheetSource name="Table1"/>
  </cacheSource>
  <cacheFields count="4">
    <cacheField name="Employe Name" numFmtId="0">
      <sharedItems count="13">
        <s v="Sankar"/>
        <s v="Gopi"/>
        <s v="Eswara"/>
        <s v="Pandi"/>
        <s v="Nishal"/>
        <s v="Viki"/>
        <s v="Simman"/>
        <s v="Kowsi"/>
        <s v="Jaya"/>
        <s v="Ram"/>
        <s v="Naresh"/>
        <s v="Kumar"/>
        <s v="Rishi"/>
      </sharedItems>
    </cacheField>
    <cacheField name="Employe ID" numFmtId="0">
      <sharedItems count="13">
        <s v="ED0001"/>
        <s v="ED0002"/>
        <s v="ED0003"/>
        <s v="ED0004"/>
        <s v="ED0005"/>
        <s v="ED0006"/>
        <s v="ED0007"/>
        <s v="ED0008"/>
        <s v="ED0009"/>
        <s v="ED0010"/>
        <s v="ED0011"/>
        <s v="ED0012"/>
        <s v="ED0013"/>
      </sharedItems>
    </cacheField>
    <cacheField name="Domain " numFmtId="0">
      <sharedItems count="2">
        <s v="Manager"/>
        <s v="Staff"/>
      </sharedItems>
    </cacheField>
    <cacheField name="Salary" numFmtId="0">
      <sharedItems count="13">
        <s v="Rs.1000000"/>
        <s v="Rs.1000001"/>
        <s v="Rs.1000002"/>
        <s v="Rs.1000003"/>
        <s v="Rs.1000004"/>
        <s v="Rs.1000005"/>
        <s v="Rs.1000006"/>
        <s v="Rs.1000007"/>
        <s v="Rs.1000008"/>
        <s v="Rs.1000009"/>
        <s v="Rs.1000010"/>
        <s v="Rs.1000011"/>
        <s v="Rs.10000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karagopi B" refreshedDate="46062.763467939818" backgroundQuery="1" createdVersion="8" refreshedVersion="8" minRefreshableVersion="3" recordCount="0" supportSubquery="1" supportAdvancedDrill="1" xr:uid="{306AA953-1C93-4562-933F-F26A8EC39139}">
  <cacheSource type="external" connectionId="1"/>
  <cacheFields count="2">
    <cacheField name="[Measures].[Count of Salary]" caption="Count of Salary" numFmtId="0" hierarchy="6" level="32767"/>
    <cacheField name="[Table1].[Employe Name].[Employe Name]" caption="Employe Name" numFmtId="0" level="1">
      <sharedItems count="13">
        <s v="Eswara"/>
        <s v="Gopi"/>
        <s v="Jaya"/>
        <s v="Kowsi"/>
        <s v="Kumar"/>
        <s v="Naresh"/>
        <s v="Nishal"/>
        <s v="Pandi"/>
        <s v="Ram"/>
        <s v="Rishi"/>
        <s v="Sankar"/>
        <s v="Simman"/>
        <s v="Viki"/>
      </sharedItems>
    </cacheField>
  </cacheFields>
  <cacheHierarchies count="7">
    <cacheHierarchy uniqueName="[Table1].[Employe Name]" caption="Employe Name" attribute="1" defaultMemberUniqueName="[Table1].[Employe Name].[All]" allUniqueName="[Table1].[Employe 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Employe ID]" caption="Employe ID" attribute="1" defaultMemberUniqueName="[Table1].[Employe ID].[All]" allUniqueName="[Table1].[Employe ID].[All]" dimensionUniqueName="[Table1]" displayFolder="" count="0" memberValueDatatype="130" unbalanced="0"/>
    <cacheHierarchy uniqueName="[Table1].[Domain]" caption="Domain" attribute="1" defaultMemberUniqueName="[Table1].[Domain].[All]" allUniqueName="[Table1].[Domain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alary]" caption="Count of Salar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x v="0"/>
    <x v="0"/>
  </r>
  <r>
    <x v="1"/>
    <x v="1"/>
    <x v="1"/>
    <x v="1"/>
  </r>
  <r>
    <x v="2"/>
    <x v="2"/>
    <x v="1"/>
    <x v="2"/>
  </r>
  <r>
    <x v="3"/>
    <x v="3"/>
    <x v="1"/>
    <x v="3"/>
  </r>
  <r>
    <x v="4"/>
    <x v="4"/>
    <x v="1"/>
    <x v="4"/>
  </r>
  <r>
    <x v="5"/>
    <x v="5"/>
    <x v="1"/>
    <x v="5"/>
  </r>
  <r>
    <x v="6"/>
    <x v="6"/>
    <x v="1"/>
    <x v="6"/>
  </r>
  <r>
    <x v="7"/>
    <x v="7"/>
    <x v="1"/>
    <x v="7"/>
  </r>
  <r>
    <x v="8"/>
    <x v="8"/>
    <x v="1"/>
    <x v="8"/>
  </r>
  <r>
    <x v="9"/>
    <x v="9"/>
    <x v="1"/>
    <x v="9"/>
  </r>
  <r>
    <x v="10"/>
    <x v="10"/>
    <x v="1"/>
    <x v="10"/>
  </r>
  <r>
    <x v="11"/>
    <x v="11"/>
    <x v="1"/>
    <x v="11"/>
  </r>
  <r>
    <x v="12"/>
    <x v="12"/>
    <x v="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10480-EAD4-4CCA-B59F-121DA0CA0CED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2">
    <pivotField dataField="1" subtotalTop="0" showAll="0" defaultSubtotal="0"/>
    <pivotField axis="axisRow" allDrilled="1" showAll="0" sortType="ascending" dataSourceSort="1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Salary" fld="0" subtotal="count" baseField="0" baseItem="0"/>
  </dataFields>
  <pivotHierarchies count="7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4C2BD-4147-4C61-A071-EC5F307F8D1A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31" firstHeaderRow="1" firstDataRow="1" firstDataCol="1"/>
  <pivotFields count="4">
    <pivotField axis="axisRow" multipleItemSelectionAllowed="1" showAll="0" sortType="descending">
      <items count="14">
        <item x="5"/>
        <item x="6"/>
        <item x="0"/>
        <item x="12"/>
        <item x="9"/>
        <item x="3"/>
        <item x="4"/>
        <item x="10"/>
        <item x="11"/>
        <item x="7"/>
        <item x="8"/>
        <item x="1"/>
        <item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1"/>
    <field x="0"/>
  </rowFields>
  <rowItems count="27">
    <i>
      <x/>
    </i>
    <i r="1">
      <x v="2"/>
    </i>
    <i>
      <x v="1"/>
    </i>
    <i r="1">
      <x v="11"/>
    </i>
    <i>
      <x v="2"/>
    </i>
    <i r="1">
      <x v="12"/>
    </i>
    <i>
      <x v="3"/>
    </i>
    <i r="1">
      <x v="5"/>
    </i>
    <i>
      <x v="4"/>
    </i>
    <i r="1">
      <x v="6"/>
    </i>
    <i>
      <x v="5"/>
    </i>
    <i r="1">
      <x/>
    </i>
    <i>
      <x v="6"/>
    </i>
    <i r="1">
      <x v="1"/>
    </i>
    <i>
      <x v="7"/>
    </i>
    <i r="1">
      <x v="9"/>
    </i>
    <i>
      <x v="8"/>
    </i>
    <i r="1">
      <x v="10"/>
    </i>
    <i>
      <x v="9"/>
    </i>
    <i r="1">
      <x v="4"/>
    </i>
    <i>
      <x v="10"/>
    </i>
    <i r="1">
      <x v="7"/>
    </i>
    <i>
      <x v="11"/>
    </i>
    <i r="1">
      <x v="8"/>
    </i>
    <i>
      <x v="12"/>
    </i>
    <i r="1">
      <x v="3"/>
    </i>
    <i t="grand">
      <x/>
    </i>
  </rowItems>
  <colItems count="1">
    <i/>
  </colItems>
  <dataFields count="1">
    <dataField name="Count of Salar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56C50-E704-4A29-BA3E-2B6D41723A6D}" name="Table1" displayName="Table1" ref="A1:D14" totalsRowShown="0" headerRowDxfId="0">
  <autoFilter ref="A1:D14" xr:uid="{66356C50-E704-4A29-BA3E-2B6D41723A6D}"/>
  <tableColumns count="4">
    <tableColumn id="1" xr3:uid="{DEFAEFB3-51B8-4562-9AA1-C01CC2505915}" name="Employe Name"/>
    <tableColumn id="2" xr3:uid="{93B98294-0D50-47B4-9945-BB5AA223EEA6}" name="Employe ID"/>
    <tableColumn id="3" xr3:uid="{1AFF25B0-F4BB-4342-B90F-877FA6EE3245}" name="Domain "/>
    <tableColumn id="4" xr3:uid="{0EF1DF7C-2525-4B13-AF54-6D74224C7F74}" name="Sala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24A2-4C33-48ED-8E11-458BB3419E62}">
  <dimension ref="A3:B1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3.44140625" bestFit="1" customWidth="1"/>
  </cols>
  <sheetData>
    <row r="3" spans="1:2" x14ac:dyDescent="0.3">
      <c r="A3" s="2" t="s">
        <v>45</v>
      </c>
      <c r="B3" t="s">
        <v>47</v>
      </c>
    </row>
    <row r="4" spans="1:2" x14ac:dyDescent="0.3">
      <c r="A4" s="3" t="s">
        <v>6</v>
      </c>
      <c r="B4" s="4">
        <v>1</v>
      </c>
    </row>
    <row r="5" spans="1:2" x14ac:dyDescent="0.3">
      <c r="A5" s="3" t="s">
        <v>5</v>
      </c>
      <c r="B5" s="4">
        <v>1</v>
      </c>
    </row>
    <row r="6" spans="1:2" x14ac:dyDescent="0.3">
      <c r="A6" s="3" t="s">
        <v>12</v>
      </c>
      <c r="B6" s="4">
        <v>1</v>
      </c>
    </row>
    <row r="7" spans="1:2" x14ac:dyDescent="0.3">
      <c r="A7" s="3" t="s">
        <v>11</v>
      </c>
      <c r="B7" s="4">
        <v>1</v>
      </c>
    </row>
    <row r="8" spans="1:2" x14ac:dyDescent="0.3">
      <c r="A8" s="3" t="s">
        <v>15</v>
      </c>
      <c r="B8" s="4">
        <v>1</v>
      </c>
    </row>
    <row r="9" spans="1:2" x14ac:dyDescent="0.3">
      <c r="A9" s="3" t="s">
        <v>14</v>
      </c>
      <c r="B9" s="4">
        <v>1</v>
      </c>
    </row>
    <row r="10" spans="1:2" x14ac:dyDescent="0.3">
      <c r="A10" s="3" t="s">
        <v>8</v>
      </c>
      <c r="B10" s="4">
        <v>1</v>
      </c>
    </row>
    <row r="11" spans="1:2" x14ac:dyDescent="0.3">
      <c r="A11" s="3" t="s">
        <v>7</v>
      </c>
      <c r="B11" s="4">
        <v>1</v>
      </c>
    </row>
    <row r="12" spans="1:2" x14ac:dyDescent="0.3">
      <c r="A12" s="3" t="s">
        <v>13</v>
      </c>
      <c r="B12" s="4">
        <v>1</v>
      </c>
    </row>
    <row r="13" spans="1:2" x14ac:dyDescent="0.3">
      <c r="A13" s="3" t="s">
        <v>16</v>
      </c>
      <c r="B13" s="4">
        <v>1</v>
      </c>
    </row>
    <row r="14" spans="1:2" x14ac:dyDescent="0.3">
      <c r="A14" s="3" t="s">
        <v>4</v>
      </c>
      <c r="B14" s="4">
        <v>1</v>
      </c>
    </row>
    <row r="15" spans="1:2" x14ac:dyDescent="0.3">
      <c r="A15" s="3" t="s">
        <v>10</v>
      </c>
      <c r="B15" s="4">
        <v>1</v>
      </c>
    </row>
    <row r="16" spans="1:2" x14ac:dyDescent="0.3">
      <c r="A16" s="3" t="s">
        <v>9</v>
      </c>
      <c r="B16" s="4">
        <v>1</v>
      </c>
    </row>
    <row r="17" spans="1:2" x14ac:dyDescent="0.3">
      <c r="A17" s="3" t="s">
        <v>46</v>
      </c>
      <c r="B17" s="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2CA9-F365-4340-A034-AD1F851940BB}">
  <dimension ref="A1:M31"/>
  <sheetViews>
    <sheetView tabSelected="1" workbookViewId="0">
      <selection activeCell="G5" sqref="G5:G17"/>
    </sheetView>
  </sheetViews>
  <sheetFormatPr defaultRowHeight="14.4" x14ac:dyDescent="0.3"/>
  <cols>
    <col min="1" max="1" width="15.44140625" customWidth="1"/>
    <col min="2" max="2" width="12.21875" customWidth="1"/>
    <col min="3" max="3" width="11.21875" bestFit="1" customWidth="1"/>
    <col min="4" max="4" width="10.5546875" bestFit="1" customWidth="1"/>
    <col min="7" max="7" width="14.5546875" bestFit="1" customWidth="1"/>
    <col min="9" max="9" width="13.109375" bestFit="1" customWidth="1"/>
    <col min="10" max="10" width="12.44140625" bestFit="1" customWidth="1"/>
    <col min="11" max="11" width="13.44140625" bestFit="1" customWidth="1"/>
    <col min="12" max="12" width="20.88671875" bestFit="1" customWidth="1"/>
    <col min="13" max="24" width="1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">
      <c r="A2" t="s">
        <v>4</v>
      </c>
      <c r="B2" t="s">
        <v>17</v>
      </c>
      <c r="C2" t="s">
        <v>30</v>
      </c>
      <c r="D2" t="s">
        <v>32</v>
      </c>
    </row>
    <row r="3" spans="1:13" x14ac:dyDescent="0.3">
      <c r="A3" t="s">
        <v>5</v>
      </c>
      <c r="B3" t="s">
        <v>18</v>
      </c>
      <c r="C3" t="s">
        <v>31</v>
      </c>
      <c r="D3" t="s">
        <v>48</v>
      </c>
    </row>
    <row r="4" spans="1:13" x14ac:dyDescent="0.3">
      <c r="A4" t="s">
        <v>6</v>
      </c>
      <c r="B4" t="s">
        <v>19</v>
      </c>
      <c r="C4" t="s">
        <v>31</v>
      </c>
      <c r="D4" t="s">
        <v>33</v>
      </c>
      <c r="G4" t="s">
        <v>44</v>
      </c>
      <c r="I4" t="s">
        <v>49</v>
      </c>
      <c r="L4" s="2" t="s">
        <v>45</v>
      </c>
      <c r="M4" t="s">
        <v>47</v>
      </c>
    </row>
    <row r="5" spans="1:13" x14ac:dyDescent="0.3">
      <c r="A5" t="s">
        <v>7</v>
      </c>
      <c r="B5" t="s">
        <v>20</v>
      </c>
      <c r="C5" t="s">
        <v>31</v>
      </c>
      <c r="D5" t="s">
        <v>34</v>
      </c>
      <c r="G5" t="s">
        <v>4</v>
      </c>
      <c r="H5" t="str">
        <f>VLOOKUP(G5,Table1[],2,0)</f>
        <v>ED0001</v>
      </c>
      <c r="I5" t="str">
        <f>VLOOKUP(G5,Table1[],4,0)</f>
        <v>Rs.1000000</v>
      </c>
      <c r="L5" s="3" t="s">
        <v>17</v>
      </c>
      <c r="M5" s="4">
        <v>1</v>
      </c>
    </row>
    <row r="6" spans="1:13" x14ac:dyDescent="0.3">
      <c r="A6" t="s">
        <v>8</v>
      </c>
      <c r="B6" t="s">
        <v>21</v>
      </c>
      <c r="C6" t="s">
        <v>31</v>
      </c>
      <c r="D6" t="s">
        <v>35</v>
      </c>
      <c r="G6" t="s">
        <v>5</v>
      </c>
      <c r="H6" t="str">
        <f>VLOOKUP(G6,Table1[],2,0)</f>
        <v>ED0002</v>
      </c>
      <c r="I6" t="str">
        <f>VLOOKUP(G6,Table1[],4,0)</f>
        <v>Rs.50000</v>
      </c>
      <c r="L6" s="5" t="s">
        <v>4</v>
      </c>
      <c r="M6" s="4">
        <v>1</v>
      </c>
    </row>
    <row r="7" spans="1:13" x14ac:dyDescent="0.3">
      <c r="A7" t="s">
        <v>9</v>
      </c>
      <c r="B7" t="s">
        <v>22</v>
      </c>
      <c r="C7" t="s">
        <v>31</v>
      </c>
      <c r="D7" t="s">
        <v>36</v>
      </c>
      <c r="G7" t="s">
        <v>9</v>
      </c>
      <c r="H7" t="str">
        <f>VLOOKUP(G7,Table1[],2,0)</f>
        <v>ED0006</v>
      </c>
      <c r="I7" t="str">
        <f>VLOOKUP(G7,Table1[],4,0)</f>
        <v>Rs.1000005</v>
      </c>
      <c r="L7" s="3" t="s">
        <v>18</v>
      </c>
      <c r="M7" s="4">
        <v>1</v>
      </c>
    </row>
    <row r="8" spans="1:13" x14ac:dyDescent="0.3">
      <c r="A8" t="s">
        <v>10</v>
      </c>
      <c r="B8" t="s">
        <v>23</v>
      </c>
      <c r="C8" t="s">
        <v>31</v>
      </c>
      <c r="D8" t="s">
        <v>37</v>
      </c>
      <c r="G8" t="s">
        <v>12</v>
      </c>
      <c r="H8" t="str">
        <f>VLOOKUP(G8,Table1[],2,0)</f>
        <v>ED0009</v>
      </c>
      <c r="I8" t="str">
        <f>VLOOKUP(G8,Table1[],4,0)</f>
        <v>Rs.1000008</v>
      </c>
      <c r="L8" s="5" t="s">
        <v>5</v>
      </c>
      <c r="M8" s="4">
        <v>1</v>
      </c>
    </row>
    <row r="9" spans="1:13" x14ac:dyDescent="0.3">
      <c r="A9" t="s">
        <v>11</v>
      </c>
      <c r="B9" t="s">
        <v>24</v>
      </c>
      <c r="C9" t="s">
        <v>31</v>
      </c>
      <c r="D9" t="s">
        <v>38</v>
      </c>
      <c r="G9" t="s">
        <v>13</v>
      </c>
      <c r="H9" t="str">
        <f>VLOOKUP(G9,Table1[],2,0)</f>
        <v>ED0010</v>
      </c>
      <c r="I9" t="str">
        <f>VLOOKUP(G9,Table1[],4,0)</f>
        <v>Rs.1000009</v>
      </c>
      <c r="L9" s="3" t="s">
        <v>19</v>
      </c>
      <c r="M9" s="4">
        <v>1</v>
      </c>
    </row>
    <row r="10" spans="1:13" x14ac:dyDescent="0.3">
      <c r="A10" t="s">
        <v>12</v>
      </c>
      <c r="B10" t="s">
        <v>25</v>
      </c>
      <c r="C10" t="s">
        <v>31</v>
      </c>
      <c r="D10" t="s">
        <v>39</v>
      </c>
      <c r="G10" t="s">
        <v>14</v>
      </c>
      <c r="H10" t="str">
        <f>VLOOKUP(G10,Table1[],2,0)</f>
        <v>ED0011</v>
      </c>
      <c r="I10" t="str">
        <f>VLOOKUP(G10,Table1[],4,0)</f>
        <v>Rs.1000010</v>
      </c>
      <c r="L10" s="5" t="s">
        <v>6</v>
      </c>
      <c r="M10" s="4">
        <v>1</v>
      </c>
    </row>
    <row r="11" spans="1:13" x14ac:dyDescent="0.3">
      <c r="A11" t="s">
        <v>13</v>
      </c>
      <c r="B11" t="s">
        <v>26</v>
      </c>
      <c r="C11" t="s">
        <v>31</v>
      </c>
      <c r="D11" t="s">
        <v>40</v>
      </c>
      <c r="G11" t="s">
        <v>16</v>
      </c>
      <c r="H11" t="str">
        <f>VLOOKUP(G11,Table1[],2,0)</f>
        <v>ED0013</v>
      </c>
      <c r="I11" t="str">
        <f>VLOOKUP(G11,Table1[],4,0)</f>
        <v>Rs.1000012</v>
      </c>
      <c r="L11" s="3" t="s">
        <v>20</v>
      </c>
      <c r="M11" s="4">
        <v>1</v>
      </c>
    </row>
    <row r="12" spans="1:13" x14ac:dyDescent="0.3">
      <c r="A12" t="s">
        <v>14</v>
      </c>
      <c r="B12" t="s">
        <v>27</v>
      </c>
      <c r="C12" t="s">
        <v>31</v>
      </c>
      <c r="D12" t="s">
        <v>41</v>
      </c>
      <c r="G12" t="s">
        <v>11</v>
      </c>
      <c r="H12" t="str">
        <f>VLOOKUP(G12,Table1[],2,0)</f>
        <v>ED0008</v>
      </c>
      <c r="I12" t="str">
        <f>VLOOKUP(G12,Table1[],4,0)</f>
        <v>Rs.1000007</v>
      </c>
      <c r="L12" s="5" t="s">
        <v>7</v>
      </c>
      <c r="M12" s="4">
        <v>1</v>
      </c>
    </row>
    <row r="13" spans="1:13" x14ac:dyDescent="0.3">
      <c r="A13" t="s">
        <v>15</v>
      </c>
      <c r="B13" t="s">
        <v>28</v>
      </c>
      <c r="C13" t="s">
        <v>31</v>
      </c>
      <c r="D13" t="s">
        <v>42</v>
      </c>
      <c r="G13" t="s">
        <v>5</v>
      </c>
      <c r="H13" t="str">
        <f>VLOOKUP(G13,Table1[],2,0)</f>
        <v>ED0002</v>
      </c>
      <c r="I13" t="str">
        <f>VLOOKUP(G13,Table1[],4,0)</f>
        <v>Rs.50000</v>
      </c>
      <c r="L13" s="3" t="s">
        <v>21</v>
      </c>
      <c r="M13" s="4">
        <v>1</v>
      </c>
    </row>
    <row r="14" spans="1:13" x14ac:dyDescent="0.3">
      <c r="A14" t="s">
        <v>16</v>
      </c>
      <c r="B14" t="s">
        <v>29</v>
      </c>
      <c r="C14" t="s">
        <v>31</v>
      </c>
      <c r="D14" t="s">
        <v>43</v>
      </c>
      <c r="G14" t="s">
        <v>7</v>
      </c>
      <c r="H14" t="str">
        <f>VLOOKUP(G14,Table1[],2,0)</f>
        <v>ED0004</v>
      </c>
      <c r="I14" t="str">
        <f>VLOOKUP(G14,Table1[],4,0)</f>
        <v>Rs.1000003</v>
      </c>
      <c r="L14" s="5" t="s">
        <v>8</v>
      </c>
      <c r="M14" s="4">
        <v>1</v>
      </c>
    </row>
    <row r="15" spans="1:13" x14ac:dyDescent="0.3">
      <c r="G15" t="s">
        <v>8</v>
      </c>
      <c r="H15" t="str">
        <f>VLOOKUP(G15,Table1[],2,0)</f>
        <v>ED0005</v>
      </c>
      <c r="I15" t="str">
        <f>VLOOKUP(G15,Table1[],4,0)</f>
        <v>Rs.1000004</v>
      </c>
      <c r="L15" s="3" t="s">
        <v>22</v>
      </c>
      <c r="M15" s="4">
        <v>1</v>
      </c>
    </row>
    <row r="16" spans="1:13" x14ac:dyDescent="0.3">
      <c r="G16" t="s">
        <v>15</v>
      </c>
      <c r="H16" t="str">
        <f>VLOOKUP(G16,Table1[],2,0)</f>
        <v>ED0012</v>
      </c>
      <c r="I16" t="str">
        <f>VLOOKUP(G16,Table1[],4,0)</f>
        <v>Rs.1000011</v>
      </c>
      <c r="L16" s="5" t="s">
        <v>9</v>
      </c>
      <c r="M16" s="4">
        <v>1</v>
      </c>
    </row>
    <row r="17" spans="7:13" x14ac:dyDescent="0.3">
      <c r="G17" t="s">
        <v>6</v>
      </c>
      <c r="H17" t="str">
        <f>VLOOKUP(G17,Table1[],2,0)</f>
        <v>ED0003</v>
      </c>
      <c r="I17" t="str">
        <f>VLOOKUP(G17,Table1[],4,0)</f>
        <v>Rs.1000002</v>
      </c>
      <c r="L17" s="3" t="s">
        <v>23</v>
      </c>
      <c r="M17" s="4">
        <v>1</v>
      </c>
    </row>
    <row r="18" spans="7:13" x14ac:dyDescent="0.3">
      <c r="L18" s="5" t="s">
        <v>10</v>
      </c>
      <c r="M18" s="4">
        <v>1</v>
      </c>
    </row>
    <row r="19" spans="7:13" x14ac:dyDescent="0.3">
      <c r="L19" s="3" t="s">
        <v>24</v>
      </c>
      <c r="M19" s="4">
        <v>1</v>
      </c>
    </row>
    <row r="20" spans="7:13" x14ac:dyDescent="0.3">
      <c r="L20" s="5" t="s">
        <v>11</v>
      </c>
      <c r="M20" s="4">
        <v>1</v>
      </c>
    </row>
    <row r="21" spans="7:13" x14ac:dyDescent="0.3">
      <c r="L21" s="3" t="s">
        <v>25</v>
      </c>
      <c r="M21" s="4">
        <v>1</v>
      </c>
    </row>
    <row r="22" spans="7:13" x14ac:dyDescent="0.3">
      <c r="L22" s="5" t="s">
        <v>12</v>
      </c>
      <c r="M22" s="4">
        <v>1</v>
      </c>
    </row>
    <row r="23" spans="7:13" x14ac:dyDescent="0.3">
      <c r="L23" s="3" t="s">
        <v>26</v>
      </c>
      <c r="M23" s="4">
        <v>1</v>
      </c>
    </row>
    <row r="24" spans="7:13" x14ac:dyDescent="0.3">
      <c r="L24" s="5" t="s">
        <v>13</v>
      </c>
      <c r="M24" s="4">
        <v>1</v>
      </c>
    </row>
    <row r="25" spans="7:13" x14ac:dyDescent="0.3">
      <c r="L25" s="3" t="s">
        <v>27</v>
      </c>
      <c r="M25" s="4">
        <v>1</v>
      </c>
    </row>
    <row r="26" spans="7:13" x14ac:dyDescent="0.3">
      <c r="L26" s="5" t="s">
        <v>14</v>
      </c>
      <c r="M26" s="4">
        <v>1</v>
      </c>
    </row>
    <row r="27" spans="7:13" x14ac:dyDescent="0.3">
      <c r="L27" s="3" t="s">
        <v>28</v>
      </c>
      <c r="M27" s="4">
        <v>1</v>
      </c>
    </row>
    <row r="28" spans="7:13" x14ac:dyDescent="0.3">
      <c r="L28" s="5" t="s">
        <v>15</v>
      </c>
      <c r="M28" s="4">
        <v>1</v>
      </c>
    </row>
    <row r="29" spans="7:13" x14ac:dyDescent="0.3">
      <c r="L29" s="3" t="s">
        <v>29</v>
      </c>
      <c r="M29" s="4">
        <v>1</v>
      </c>
    </row>
    <row r="30" spans="7:13" x14ac:dyDescent="0.3">
      <c r="L30" s="5" t="s">
        <v>16</v>
      </c>
      <c r="M30" s="4">
        <v>1</v>
      </c>
    </row>
    <row r="31" spans="7:13" x14ac:dyDescent="0.3">
      <c r="L31" s="3" t="s">
        <v>46</v>
      </c>
      <c r="M31" s="4">
        <v>13</v>
      </c>
    </row>
  </sheetData>
  <phoneticPr fontId="2" type="noConversion"/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Sankaragopi B</dc:creator>
  <cp:lastModifiedBy>Sankaragopi B</cp:lastModifiedBy>
  <dcterms:created xsi:type="dcterms:W3CDTF">2026-02-09T12:31:53Z</dcterms:created>
  <dcterms:modified xsi:type="dcterms:W3CDTF">2026-02-09T12:53:04Z</dcterms:modified>
</cp:coreProperties>
</file>